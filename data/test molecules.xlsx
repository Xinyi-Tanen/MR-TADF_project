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<sst xmlns="http://schemas.openxmlformats.org/spreadsheetml/2006/main" count="84" uniqueCount="51">
  <si>
    <t>Molecules</t>
  </si>
  <si>
    <t>Smiles</t>
  </si>
  <si>
    <t>Specifier</t>
  </si>
  <si>
    <t>Solution</t>
  </si>
  <si>
    <t>FWHM</t>
  </si>
  <si>
    <t>PLQY</t>
  </si>
  <si>
    <t>PL-peak</t>
  </si>
  <si>
    <t>S1</t>
  </si>
  <si>
    <t>T1</t>
  </si>
  <si>
    <r>
      <rPr>
        <b/>
        <sz val="11"/>
        <color theme="1"/>
        <rFont val="Times New Roman Regular"/>
        <charset val="134"/>
      </rPr>
      <t>∆E</t>
    </r>
    <r>
      <rPr>
        <b/>
        <vertAlign val="subscript"/>
        <sz val="11"/>
        <color theme="1"/>
        <rFont val="Times New Roman Regular"/>
        <charset val="134"/>
      </rPr>
      <t>ST</t>
    </r>
  </si>
  <si>
    <t>τp</t>
  </si>
  <si>
    <t>f</t>
  </si>
  <si>
    <t>Functional/Basis Set</t>
  </si>
  <si>
    <t>LUMO</t>
  </si>
  <si>
    <t>HOMO</t>
  </si>
  <si>
    <t>DOI</t>
  </si>
  <si>
    <t>DpCp-Cz-BN</t>
  </si>
  <si>
    <t>CC(C1=CC2=C3C(B4C(C(N5C6=C4C=C(C(C)(C)C)C=C6C7=C5C=CC(C(C)(C)C)=C7)=CC(N8C(C9=CC=C%10CCC(C=C%11)=CC=C%11CC9)=C%10C%12=C8C%13=CC=C%12CCC(C=C%14)=CC=C%14CC%13)=C%15)=C%15N3C%16=C2C=C(C(C)(C)C)C=C%16)=C1)(C)C</t>
  </si>
  <si>
    <t>toluene</t>
  </si>
  <si>
    <t>B3LYP/6-31G(d,p)</t>
  </si>
  <si>
    <t>10.1002/adom.202502729</t>
  </si>
  <si>
    <t>DpCp-PXZ-BN</t>
  </si>
  <si>
    <t>CC(C1=CC2=C3C(B4C(C(N5C6=C4C=CC=C6OC7=C5C=CC=C7)=CC(N8C(C9=CC=C%10CCC(C=C%11)=CC=C%11CC9)=C%10C%12=C8C%13=CC=C%12CCC(C=C%14)=CC=C%14CC%13)=C%15)=C%15N3C%16=C2C=C(C(C)(C)C)C=C%16)=C1)(C)C</t>
  </si>
  <si>
    <t>DpCp-PTZ-BN</t>
  </si>
  <si>
    <t>CC(C1=CC2=C3C(B4C(C(N5C6=C4C=CC=C6SC7=C5C=CC=C7)=CC(N8C(C9=CC=C%10CCC(C=C%11)=CC=C%11CC9)=C%10C%12=C8C%13=CC=C%12CCC(C=C%14)=CC=C%14CC%13)=C%15)=C%15N3C%16=C2C=C(C(C)(C)C)C=C%16)=C1)(C)C</t>
  </si>
  <si>
    <t>DpCp-PSeZ-BN</t>
  </si>
  <si>
    <t>CC(C1=CC2=C3C(B4C(C(N5C6=C4C=CC=C6[Se]C7=C5C=CC=C7)=CC(N8C(C9=CC=C%10CCC(C=C%11)=CC=C%11CC9)=C%10C%12=C8C%13=CC=C%12CCC(C=C%14)=CC=C%14CC%13)=C%15)=C%15N3C%16=C2C=C(C(C)(C)C)C=C%16)=C1)(C)C</t>
  </si>
  <si>
    <t>N1(C(C=CC(C2=CC=CC=C2)=C3)=C3B(C4=C1C=CC=C45)C6=C(N5C(C=C7)=CC=C7C8=CC=CC=C8)C=CC(C9=CC=CC=C9)=C6)C(C=C%10)=CC=C%10C%11=CC=CC=C%11</t>
  </si>
  <si>
    <t>Unknown</t>
  </si>
  <si>
    <t>10.1038/s41467-024-55620-0</t>
  </si>
  <si>
    <t>N(C1=CC=CC=C1)(C2=CC=CC=C2)C3=CC(N(C4=CC=CC=C4)C5=C6C=CC=C5)=C(C(N(C7=CC=CC=C7)C8=C9)=C3)B6C8=CC%10=C9N(C%11=CC=CC=C%11)C%12=CC(N(C%13=CC=CC=C%13)C%14=CC=CC=C%14)=CC%15=C%12B%10C(C=CC=C%16)=C%16N%15C%17=CC=CC=C%17</t>
  </si>
  <si>
    <t>N1(C2=C(C=C(C3=CC=CC=C3)C=C2)B4C5=C(N(C6=CC=C(C7=CC=CC=C7)C=C6)C8=CC(N(C9=CC=C(C%10=CC=CC=C%10)C=C9)C%11=CC=CC=C%11C%12=CC=CC=C%12)=CC1=C84)C=CC(C%13=CC=CC=C%13)=C5)C(C=C%14)=CC=C%14C%15=CC=CC=C%15</t>
  </si>
  <si>
    <t>CC(C)(C1=CC(B2C3=C(N(C4=CC=C(C=C4)C(C)(C)C)C5=CC=CC6=C52)C=CC(C(C)(C)C)=C3)=C(N6C(C=C7)=CC=C7C(C)(C)C)C=C1)C</t>
  </si>
  <si>
    <t>BNCz-TPE</t>
  </si>
  <si>
    <t>CC(C)(C1=CC(C2=C3C=CC(C(C)(C)C)=C2)=C(N3C4=CC(C5=CC=C(/C(C6=CC=CC=C6)=C(C7=CC=CC=C7)\C8=CC=CC=C8)C=C5)=CC9=C4B%10C%11=CC(C(C)(C)C)=CC%12=C%11N9C%13=C%12C=C(C(C)(C)C)C=C%13)C%10=C1)C</t>
  </si>
  <si>
    <t>10.1016/j.dyepig.2025.113233</t>
  </si>
  <si>
    <t>BNCz-BPA</t>
  </si>
  <si>
    <t>CC(C)(C1=CC(C2=C3C=CC(C(C)(C)C)=C2)=C(N3C4=C5C(N6C7=C8C9=C6C=CC(C(C)(C)C)=C9)=CC(C%10=CC=C%11C(C%12=C(C%13=C%11C=CC=C%13)C=CC=C%12)=C%10)=C4)C(B5C7=CC(C(C)(C)C)=C8)=C1)C</t>
  </si>
  <si>
    <t>DOB2-DABNA-C-NP-S-1</t>
  </si>
  <si>
    <t>CC1=[C@@](C=CC=C1)[N@@]2C3=CC(N(C4=CC(C)=CC(C)=C4)C5=CC(C)=CC(C)=C5)=CC([N@@]6[C@@]7=CC=CC=C7C)=C3B(C8=C2C=C(O9)C%10=C8OC%11=C(C=CC=C%11)B%10C%12=C9C=CC=C%12)C%13=C6C=C(SC%14=C%15B%16C%17=C(C=CC=C%17)OC%15=CC=C%14)C%16=C%13</t>
  </si>
  <si>
    <t>10.1039/d5mh01353d</t>
  </si>
  <si>
    <r>
      <rPr>
        <sz val="11"/>
        <color theme="1"/>
        <rFont val="宋体-简"/>
        <charset val="134"/>
      </rPr>
      <t>这篇文章</t>
    </r>
    <r>
      <rPr>
        <sz val="11"/>
        <color theme="1"/>
        <rFont val="Times New Roman"/>
        <charset val="134"/>
      </rPr>
      <t>si</t>
    </r>
    <r>
      <rPr>
        <sz val="11"/>
        <color theme="1"/>
        <rFont val="宋体-简"/>
        <charset val="134"/>
      </rPr>
      <t>里面做了多位态计算</t>
    </r>
  </si>
  <si>
    <t>BCz-BN</t>
  </si>
  <si>
    <t>CC(C1=CC2=C(N(C3=C4C(N5C(C=CC(C(C)(C)C)=C6)=C6C7=C5C8=CC(C(C)(C)C)=C7)=CC=C3)C9=C2C=C(C(C)(C)C)C=C9)C(B84)=C1)(C)C</t>
  </si>
  <si>
    <t>10.1038/s41467-024-55680-2</t>
  </si>
  <si>
    <r>
      <rPr>
        <sz val="11"/>
        <color theme="1"/>
        <rFont val="宋体-简"/>
        <charset val="134"/>
      </rPr>
      <t>这篇还有一个</t>
    </r>
    <r>
      <rPr>
        <sz val="11"/>
        <color theme="1"/>
        <rFont val="Times New Roman"/>
        <charset val="134"/>
      </rPr>
      <t>2s</t>
    </r>
    <r>
      <rPr>
        <sz val="11"/>
        <color theme="1"/>
        <rFont val="宋体-简"/>
        <charset val="134"/>
      </rPr>
      <t>分子波长在</t>
    </r>
    <r>
      <rPr>
        <sz val="11"/>
        <color theme="1"/>
        <rFont val="Times New Roman"/>
        <charset val="134"/>
      </rPr>
      <t>700</t>
    </r>
    <r>
      <rPr>
        <sz val="11"/>
        <color theme="1"/>
        <rFont val="宋体-简"/>
        <charset val="134"/>
      </rPr>
      <t>左右，不适用我的模型</t>
    </r>
  </si>
  <si>
    <t>SS-B</t>
  </si>
  <si>
    <t>CC1=CC(C)=C(N(C2=CC=CC=C2)C3=CC(N(C(C=C45)=C6C=C4SC7=C5C=CC=C7)C(C=C89)=CC=C8SC%10=C9C=CC=C%10)=C%11B6C(C=CC=C%12)=C%12N(C%13=C(C)C=C(C)C=C%13C)C%11=C3)C(C)=C1</t>
  </si>
  <si>
    <t>10.1002/anie.2644336</t>
  </si>
  <si>
    <t>SS-2B</t>
  </si>
  <si>
    <t>CC1=CC(C)=C(N2C3=C(B4C5=CC=CC=C25)C(N(C6=C4C=C(SC7=C8C=CC=C7)C8=C6)C9=C%10C=C(C%11=C9)SC%12=C%11C=CC=C%12)=C%13B%10C(C=CC=C%14)=C%14N(C%15=C(C)C=C(C)C=C%15C)C%13=C3)C(C)=C1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</si>
</sst>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7">
    <font>
      <sz val="11"/>
      <color theme="1"/>
      <name val="宋体"/>
      <charset val="134"/>
      <scheme val="minor"/>
    </font>
    <font>
      <b/>
      <sz val="11"/>
      <color theme="1"/>
      <name val="Times New Roman Regular"/>
      <charset val="134"/>
    </font>
    <font>
      <sz val="11"/>
      <color theme="1"/>
      <name val="Times New Roman Regular"/>
      <charset val="134"/>
    </font>
    <font>
      <sz val="11"/>
      <color theme="1"/>
      <name val="Times New Roman"/>
      <charset val="134"/>
    </font>
    <font>
      <u/>
      <sz val="11"/>
      <color rgb="FF800080"/>
      <name val="Times New Roman Regular"/>
      <charset val="0"/>
    </font>
    <font>
      <b/>
      <sz val="11"/>
      <color theme="1"/>
      <name val="Times New Roman"/>
      <charset val="134"/>
    </font>
    <font>
      <sz val="11"/>
      <color theme="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theme="1"/>
      <name val="Times New Roman Regular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6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6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467-024-55620-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467-024-55620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zoomScale="121" zoomScaleNormal="121" workbookViewId="0">
      <selection activeCell="M16" sqref="M16"/>
    </sheetView>
  </sheetViews>
  <sheetFormatPr defaultColWidth="9" defaultRowHeight="17" customHeight="1"/>
  <cols>
    <col min="1" max="1" width="15.4230769230769" customWidth="1"/>
    <col min="3" max="4" width="9" style="5"/>
    <col min="14" max="15" width="9.23076923076923"/>
    <col min="16" max="16" width="29.0192307692308" customWidth="1"/>
  </cols>
  <sheetData>
    <row r="1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/>
      <c r="R1" s="6"/>
    </row>
    <row r="2" customHeight="1" spans="1:21">
      <c r="A2" s="2" t="s">
        <v>16</v>
      </c>
      <c r="B2" s="2" t="s">
        <v>17</v>
      </c>
      <c r="C2" s="2"/>
      <c r="D2" s="2" t="s">
        <v>18</v>
      </c>
      <c r="E2" s="2">
        <v>24</v>
      </c>
      <c r="F2" s="2">
        <v>95.4</v>
      </c>
      <c r="G2" s="2">
        <v>480</v>
      </c>
      <c r="H2" s="2">
        <v>2.65</v>
      </c>
      <c r="I2" s="2">
        <v>2.53</v>
      </c>
      <c r="J2" s="2">
        <v>0.12</v>
      </c>
      <c r="K2" s="2">
        <v>9.2</v>
      </c>
      <c r="L2" s="2">
        <v>0.5841</v>
      </c>
      <c r="M2" s="7" t="s">
        <v>19</v>
      </c>
      <c r="N2" s="8">
        <v>-2.58</v>
      </c>
      <c r="O2" s="2">
        <v>-5.46</v>
      </c>
      <c r="P2" s="2" t="s">
        <v>20</v>
      </c>
      <c r="Q2" s="3"/>
      <c r="R2" s="3"/>
      <c r="S2" s="9"/>
      <c r="T2" s="9"/>
      <c r="U2" s="9"/>
    </row>
    <row r="3" customHeight="1" spans="1:21">
      <c r="A3" s="2" t="s">
        <v>21</v>
      </c>
      <c r="B3" s="2" t="s">
        <v>22</v>
      </c>
      <c r="C3" s="2"/>
      <c r="D3" s="2" t="s">
        <v>18</v>
      </c>
      <c r="E3" s="2">
        <v>41</v>
      </c>
      <c r="F3" s="2">
        <v>96.5</v>
      </c>
      <c r="G3" s="2">
        <v>509</v>
      </c>
      <c r="H3" s="2">
        <v>2.61</v>
      </c>
      <c r="I3" s="2">
        <v>2.47</v>
      </c>
      <c r="J3" s="2">
        <v>0.14</v>
      </c>
      <c r="K3" s="2">
        <v>12.1</v>
      </c>
      <c r="L3" s="2">
        <v>0.3479</v>
      </c>
      <c r="M3" s="7"/>
      <c r="N3" s="8">
        <v>-2.53</v>
      </c>
      <c r="O3" s="2">
        <v>-5.39</v>
      </c>
      <c r="P3" s="2"/>
      <c r="Q3" s="3"/>
      <c r="R3" s="3"/>
      <c r="S3" s="9"/>
      <c r="T3" s="9"/>
      <c r="U3" s="9"/>
    </row>
    <row r="4" customHeight="1" spans="1:21">
      <c r="A4" s="2" t="s">
        <v>23</v>
      </c>
      <c r="B4" s="2" t="s">
        <v>24</v>
      </c>
      <c r="C4" s="2"/>
      <c r="D4" s="2" t="s">
        <v>18</v>
      </c>
      <c r="E4" s="2">
        <v>47</v>
      </c>
      <c r="F4" s="2">
        <v>96</v>
      </c>
      <c r="G4" s="2">
        <v>505</v>
      </c>
      <c r="H4" s="2">
        <v>2.63</v>
      </c>
      <c r="I4" s="2">
        <v>2.51</v>
      </c>
      <c r="J4" s="2">
        <v>0.12</v>
      </c>
      <c r="K4" s="2">
        <v>9.1</v>
      </c>
      <c r="L4" s="2">
        <v>0.3401</v>
      </c>
      <c r="M4" s="7"/>
      <c r="N4" s="8">
        <v>-2.57</v>
      </c>
      <c r="O4" s="2">
        <v>-5.41</v>
      </c>
      <c r="P4" s="2"/>
      <c r="Q4" s="3"/>
      <c r="R4" s="3"/>
      <c r="S4" s="9"/>
      <c r="T4" s="9"/>
      <c r="U4" s="9"/>
    </row>
    <row r="5" customHeight="1" spans="1:21">
      <c r="A5" s="2" t="s">
        <v>25</v>
      </c>
      <c r="B5" s="2" t="s">
        <v>26</v>
      </c>
      <c r="C5" s="2"/>
      <c r="D5" s="2" t="s">
        <v>18</v>
      </c>
      <c r="E5" s="2">
        <v>49</v>
      </c>
      <c r="F5" s="2">
        <v>95.5</v>
      </c>
      <c r="G5" s="2">
        <v>502</v>
      </c>
      <c r="H5" s="2">
        <v>2.61</v>
      </c>
      <c r="I5" s="2">
        <v>2.52</v>
      </c>
      <c r="J5" s="2">
        <v>0.09</v>
      </c>
      <c r="K5" s="2">
        <v>6.2</v>
      </c>
      <c r="L5" s="2">
        <v>0.338</v>
      </c>
      <c r="M5" s="7"/>
      <c r="N5" s="8">
        <v>-2.6</v>
      </c>
      <c r="O5" s="2">
        <v>-5.42</v>
      </c>
      <c r="P5" s="2"/>
      <c r="Q5" s="3"/>
      <c r="R5" s="3"/>
      <c r="S5" s="9"/>
      <c r="T5" s="9"/>
      <c r="U5" s="9"/>
    </row>
    <row r="6" customHeight="1" spans="1:21">
      <c r="A6" s="3">
        <v>1</v>
      </c>
      <c r="B6" s="3" t="s">
        <v>27</v>
      </c>
      <c r="C6" s="7"/>
      <c r="D6" s="7" t="s">
        <v>28</v>
      </c>
      <c r="E6" s="3"/>
      <c r="F6" s="3">
        <v>96</v>
      </c>
      <c r="G6" s="3">
        <v>471</v>
      </c>
      <c r="H6" s="7">
        <f>I6+J6</f>
        <v>2.76</v>
      </c>
      <c r="I6" s="3">
        <v>2.49</v>
      </c>
      <c r="J6" s="3">
        <v>0.27</v>
      </c>
      <c r="K6" s="3">
        <v>11</v>
      </c>
      <c r="L6" s="3"/>
      <c r="M6" s="3"/>
      <c r="N6" s="3"/>
      <c r="O6" s="3"/>
      <c r="P6" s="4" t="s">
        <v>29</v>
      </c>
      <c r="Q6" s="3"/>
      <c r="R6" s="3"/>
      <c r="S6" s="9"/>
      <c r="T6" s="9"/>
      <c r="U6" s="9"/>
    </row>
    <row r="7" customHeight="1" spans="1:21">
      <c r="A7" s="3">
        <v>2</v>
      </c>
      <c r="B7" s="3" t="s">
        <v>30</v>
      </c>
      <c r="C7" s="7"/>
      <c r="D7" s="7" t="s">
        <v>28</v>
      </c>
      <c r="E7" s="3"/>
      <c r="F7" s="3">
        <v>98</v>
      </c>
      <c r="G7" s="3">
        <v>467</v>
      </c>
      <c r="H7" s="7">
        <f>I7+J7</f>
        <v>2.75</v>
      </c>
      <c r="I7" s="3">
        <v>2.64</v>
      </c>
      <c r="J7" s="3">
        <v>0.11</v>
      </c>
      <c r="K7" s="3">
        <v>6</v>
      </c>
      <c r="L7" s="3"/>
      <c r="M7" s="3"/>
      <c r="N7" s="3"/>
      <c r="O7" s="3"/>
      <c r="P7" s="2"/>
      <c r="Q7" s="3"/>
      <c r="R7" s="3"/>
      <c r="S7" s="9"/>
      <c r="T7" s="9"/>
      <c r="U7" s="9"/>
    </row>
    <row r="8" customHeight="1" spans="1:21">
      <c r="A8" s="3">
        <v>3</v>
      </c>
      <c r="B8" s="3" t="s">
        <v>31</v>
      </c>
      <c r="C8" s="7"/>
      <c r="D8" s="7" t="s">
        <v>28</v>
      </c>
      <c r="E8" s="3"/>
      <c r="F8" s="3">
        <v>98</v>
      </c>
      <c r="G8" s="3">
        <v>461</v>
      </c>
      <c r="H8" s="7">
        <f>I8+J8</f>
        <v>2.78</v>
      </c>
      <c r="I8" s="3">
        <v>2.57</v>
      </c>
      <c r="J8" s="3">
        <v>0.21</v>
      </c>
      <c r="K8" s="3">
        <v>7</v>
      </c>
      <c r="L8" s="3"/>
      <c r="M8" s="3"/>
      <c r="N8" s="3"/>
      <c r="O8" s="3"/>
      <c r="P8" s="2"/>
      <c r="Q8" s="3"/>
      <c r="R8" s="3"/>
      <c r="S8" s="9"/>
      <c r="T8" s="9"/>
      <c r="U8" s="9"/>
    </row>
    <row r="9" customHeight="1" spans="1:21">
      <c r="A9" s="3">
        <v>4</v>
      </c>
      <c r="B9" s="3" t="s">
        <v>32</v>
      </c>
      <c r="C9" s="7"/>
      <c r="D9" s="7" t="s">
        <v>28</v>
      </c>
      <c r="E9" s="3"/>
      <c r="F9" s="3">
        <v>100</v>
      </c>
      <c r="G9" s="3">
        <v>459</v>
      </c>
      <c r="H9" s="7">
        <f>I9+J9</f>
        <v>2.79</v>
      </c>
      <c r="I9" s="3">
        <v>2.54</v>
      </c>
      <c r="J9" s="3">
        <v>0.25</v>
      </c>
      <c r="K9" s="3">
        <v>5</v>
      </c>
      <c r="L9" s="3"/>
      <c r="M9" s="3"/>
      <c r="N9" s="3"/>
      <c r="O9" s="3"/>
      <c r="P9" s="2"/>
      <c r="Q9" s="3"/>
      <c r="R9" s="3"/>
      <c r="S9" s="9"/>
      <c r="T9" s="9"/>
      <c r="U9" s="9"/>
    </row>
    <row r="10" customHeight="1" spans="1:21">
      <c r="A10" s="3" t="s">
        <v>33</v>
      </c>
      <c r="B10" s="3" t="s">
        <v>34</v>
      </c>
      <c r="C10" s="2"/>
      <c r="D10" s="2" t="s">
        <v>18</v>
      </c>
      <c r="E10" s="3">
        <v>24</v>
      </c>
      <c r="F10" s="3">
        <v>57</v>
      </c>
      <c r="G10" s="3">
        <v>492</v>
      </c>
      <c r="H10" s="3">
        <v>2.52</v>
      </c>
      <c r="I10" s="3">
        <v>2.34</v>
      </c>
      <c r="J10" s="3">
        <v>0.18</v>
      </c>
      <c r="K10" s="3">
        <v>6.1</v>
      </c>
      <c r="L10" s="3"/>
      <c r="M10" s="3"/>
      <c r="N10" s="3">
        <v>-2.86</v>
      </c>
      <c r="O10" s="3">
        <v>-5.3</v>
      </c>
      <c r="P10" s="3" t="s">
        <v>35</v>
      </c>
      <c r="Q10" s="3"/>
      <c r="R10" s="3"/>
      <c r="S10" s="9"/>
      <c r="T10" s="9"/>
      <c r="U10" s="9"/>
    </row>
    <row r="11" customHeight="1" spans="1:21">
      <c r="A11" s="3" t="s">
        <v>36</v>
      </c>
      <c r="B11" s="3" t="s">
        <v>37</v>
      </c>
      <c r="C11" s="2"/>
      <c r="D11" s="2" t="s">
        <v>18</v>
      </c>
      <c r="E11" s="3">
        <v>26</v>
      </c>
      <c r="F11" s="3">
        <v>91</v>
      </c>
      <c r="G11" s="3">
        <v>490</v>
      </c>
      <c r="H11" s="3">
        <v>2.53</v>
      </c>
      <c r="I11" s="3">
        <v>2.37</v>
      </c>
      <c r="J11" s="3">
        <v>0.16</v>
      </c>
      <c r="K11" s="3">
        <v>6.7</v>
      </c>
      <c r="L11" s="3"/>
      <c r="M11" s="3"/>
      <c r="N11" s="3">
        <v>-2.89</v>
      </c>
      <c r="O11" s="3">
        <v>-5.33</v>
      </c>
      <c r="P11" s="3"/>
      <c r="Q11" s="3"/>
      <c r="R11" s="3"/>
      <c r="S11" s="9"/>
      <c r="T11" s="9"/>
      <c r="U11" s="9"/>
    </row>
    <row r="12" customHeight="1" spans="1:21">
      <c r="A12" s="3" t="s">
        <v>38</v>
      </c>
      <c r="B12" s="3" t="s">
        <v>39</v>
      </c>
      <c r="C12" s="7"/>
      <c r="D12" s="7" t="s">
        <v>28</v>
      </c>
      <c r="E12" s="3">
        <v>20</v>
      </c>
      <c r="F12" s="3">
        <v>87</v>
      </c>
      <c r="G12" s="3">
        <v>458</v>
      </c>
      <c r="H12" s="3">
        <v>2.682</v>
      </c>
      <c r="I12" s="3">
        <v>2.663</v>
      </c>
      <c r="J12" s="3">
        <v>0.018</v>
      </c>
      <c r="K12" s="3">
        <v>2.59</v>
      </c>
      <c r="L12" s="3"/>
      <c r="M12" s="3"/>
      <c r="N12" s="3">
        <v>-1.53</v>
      </c>
      <c r="O12" s="3">
        <v>-4.96</v>
      </c>
      <c r="P12" s="3" t="s">
        <v>40</v>
      </c>
      <c r="Q12" s="10" t="s">
        <v>41</v>
      </c>
      <c r="R12" s="3"/>
      <c r="S12" s="9"/>
      <c r="T12" s="9"/>
      <c r="U12" s="9"/>
    </row>
    <row r="13" customHeight="1" spans="1:21">
      <c r="A13" s="3" t="s">
        <v>42</v>
      </c>
      <c r="B13" s="3" t="s">
        <v>43</v>
      </c>
      <c r="C13" s="2"/>
      <c r="D13" s="2" t="s">
        <v>18</v>
      </c>
      <c r="E13" s="3">
        <v>25</v>
      </c>
      <c r="F13" s="3">
        <v>91</v>
      </c>
      <c r="G13" s="3">
        <v>484</v>
      </c>
      <c r="H13" s="3">
        <v>2.66</v>
      </c>
      <c r="I13" s="3">
        <v>2.46</v>
      </c>
      <c r="J13" s="3">
        <v>0.2</v>
      </c>
      <c r="K13" s="3">
        <v>6.7</v>
      </c>
      <c r="L13" s="3">
        <v>0.4036</v>
      </c>
      <c r="M13" s="3"/>
      <c r="N13" s="3">
        <v>-1.7309</v>
      </c>
      <c r="O13" s="3">
        <v>-5.0714</v>
      </c>
      <c r="P13" s="3" t="s">
        <v>44</v>
      </c>
      <c r="Q13" s="10" t="s">
        <v>45</v>
      </c>
      <c r="S13" s="9"/>
      <c r="T13" s="9"/>
      <c r="U13" s="9"/>
    </row>
    <row r="14" customHeight="1" spans="1:21">
      <c r="A14" s="3" t="s">
        <v>46</v>
      </c>
      <c r="B14" s="3" t="s">
        <v>47</v>
      </c>
      <c r="C14" s="7"/>
      <c r="D14" s="7" t="s">
        <v>28</v>
      </c>
      <c r="E14" s="3">
        <v>24</v>
      </c>
      <c r="F14" s="3">
        <v>89</v>
      </c>
      <c r="G14" s="3">
        <v>483</v>
      </c>
      <c r="H14" s="3"/>
      <c r="I14" s="3"/>
      <c r="J14" s="3">
        <v>0.18</v>
      </c>
      <c r="K14" s="3">
        <v>5.8</v>
      </c>
      <c r="L14" s="3"/>
      <c r="M14" s="3"/>
      <c r="N14" s="3"/>
      <c r="O14" s="3"/>
      <c r="P14" s="3" t="s">
        <v>48</v>
      </c>
      <c r="Q14" s="3"/>
      <c r="R14" s="3"/>
      <c r="S14" s="9"/>
      <c r="T14" s="9"/>
      <c r="U14" s="9"/>
    </row>
    <row r="15" customHeight="1" spans="1:21">
      <c r="A15" s="3" t="s">
        <v>49</v>
      </c>
      <c r="B15" s="3" t="s">
        <v>50</v>
      </c>
      <c r="C15" s="7"/>
      <c r="D15" s="7" t="s">
        <v>28</v>
      </c>
      <c r="E15" s="3">
        <v>27</v>
      </c>
      <c r="F15" s="3">
        <v>97</v>
      </c>
      <c r="G15" s="3">
        <v>479</v>
      </c>
      <c r="H15" s="3"/>
      <c r="I15" s="3"/>
      <c r="J15" s="3">
        <v>0.17</v>
      </c>
      <c r="K15" s="3">
        <v>2</v>
      </c>
      <c r="L15" s="3"/>
      <c r="M15" s="3"/>
      <c r="N15" s="3"/>
      <c r="O15" s="3"/>
      <c r="P15" s="3"/>
      <c r="Q15" s="3"/>
      <c r="R15" s="3"/>
      <c r="S15" s="9"/>
      <c r="T15" s="9"/>
      <c r="U15" s="9"/>
    </row>
  </sheetData>
  <mergeCells count="5">
    <mergeCell ref="M2:M5"/>
    <mergeCell ref="P2:P5"/>
    <mergeCell ref="P6:P9"/>
    <mergeCell ref="P10:P11"/>
    <mergeCell ref="P14:P15"/>
  </mergeCells>
  <hyperlinks>
    <hyperlink ref="P6" r:id="rId1" display="10.1038/s41467-024-55620-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G12" sqref="G12"/>
    </sheetView>
  </sheetViews>
  <sheetFormatPr defaultColWidth="9.23076923076923" defaultRowHeight="30" customHeight="1" outlineLevelCol="4"/>
  <sheetData>
    <row r="1" customHeight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15</v>
      </c>
    </row>
    <row r="2" customHeight="1" spans="1:5">
      <c r="A2" s="2" t="s">
        <v>16</v>
      </c>
      <c r="B2" s="2">
        <v>24</v>
      </c>
      <c r="C2" s="2">
        <v>95.4</v>
      </c>
      <c r="D2" s="2">
        <v>480</v>
      </c>
      <c r="E2" s="2" t="s">
        <v>20</v>
      </c>
    </row>
    <row r="3" customHeight="1" spans="1:5">
      <c r="A3" s="2" t="s">
        <v>21</v>
      </c>
      <c r="B3" s="2">
        <v>41</v>
      </c>
      <c r="C3" s="2">
        <v>96.5</v>
      </c>
      <c r="D3" s="2">
        <v>509</v>
      </c>
      <c r="E3" s="2"/>
    </row>
    <row r="4" customHeight="1" spans="1:5">
      <c r="A4" s="2" t="s">
        <v>23</v>
      </c>
      <c r="B4" s="2">
        <v>47</v>
      </c>
      <c r="C4" s="2">
        <v>96</v>
      </c>
      <c r="D4" s="2">
        <v>505</v>
      </c>
      <c r="E4" s="2"/>
    </row>
    <row r="5" customHeight="1" spans="1:5">
      <c r="A5" s="2" t="s">
        <v>25</v>
      </c>
      <c r="B5" s="2">
        <v>49</v>
      </c>
      <c r="C5" s="2">
        <v>95.5</v>
      </c>
      <c r="D5" s="2">
        <v>502</v>
      </c>
      <c r="E5" s="2"/>
    </row>
    <row r="6" customHeight="1" spans="1:5">
      <c r="A6" s="3">
        <v>1</v>
      </c>
      <c r="B6" s="3"/>
      <c r="C6" s="3">
        <v>96</v>
      </c>
      <c r="D6" s="3">
        <v>471</v>
      </c>
      <c r="E6" s="4" t="s">
        <v>29</v>
      </c>
    </row>
    <row r="7" customHeight="1" spans="1:5">
      <c r="A7" s="3">
        <v>2</v>
      </c>
      <c r="B7" s="3"/>
      <c r="C7" s="3">
        <v>98</v>
      </c>
      <c r="D7" s="3">
        <v>467</v>
      </c>
      <c r="E7" s="2"/>
    </row>
    <row r="8" customHeight="1" spans="1:5">
      <c r="A8" s="3">
        <v>3</v>
      </c>
      <c r="B8" s="3"/>
      <c r="C8" s="3">
        <v>98</v>
      </c>
      <c r="D8" s="3">
        <v>461</v>
      </c>
      <c r="E8" s="2"/>
    </row>
    <row r="9" customHeight="1" spans="1:5">
      <c r="A9" s="3">
        <v>4</v>
      </c>
      <c r="B9" s="3"/>
      <c r="C9" s="3">
        <v>100</v>
      </c>
      <c r="D9" s="3">
        <v>459</v>
      </c>
      <c r="E9" s="2"/>
    </row>
    <row r="10" customHeight="1" spans="1:5">
      <c r="A10" s="3" t="s">
        <v>33</v>
      </c>
      <c r="B10" s="3">
        <v>24</v>
      </c>
      <c r="C10" s="3">
        <v>57</v>
      </c>
      <c r="D10" s="3">
        <v>492</v>
      </c>
      <c r="E10" s="3" t="s">
        <v>35</v>
      </c>
    </row>
    <row r="11" customHeight="1" spans="1:5">
      <c r="A11" s="3" t="s">
        <v>36</v>
      </c>
      <c r="B11" s="3">
        <v>26</v>
      </c>
      <c r="C11" s="3">
        <v>91</v>
      </c>
      <c r="D11" s="3">
        <v>490</v>
      </c>
      <c r="E11" s="3"/>
    </row>
    <row r="12" customHeight="1" spans="1:5">
      <c r="A12" s="3" t="s">
        <v>38</v>
      </c>
      <c r="B12" s="3">
        <v>20</v>
      </c>
      <c r="C12" s="3">
        <v>87</v>
      </c>
      <c r="D12" s="3">
        <v>458</v>
      </c>
      <c r="E12" s="3" t="s">
        <v>40</v>
      </c>
    </row>
    <row r="13" customHeight="1" spans="1:5">
      <c r="A13" s="3" t="s">
        <v>42</v>
      </c>
      <c r="B13" s="3">
        <v>25</v>
      </c>
      <c r="C13" s="3">
        <v>91</v>
      </c>
      <c r="D13" s="3">
        <v>484</v>
      </c>
      <c r="E13" s="3" t="s">
        <v>44</v>
      </c>
    </row>
    <row r="14" customHeight="1" spans="1:5">
      <c r="A14" s="3" t="s">
        <v>46</v>
      </c>
      <c r="B14" s="3">
        <v>24</v>
      </c>
      <c r="C14" s="3">
        <v>89</v>
      </c>
      <c r="D14" s="3">
        <v>483</v>
      </c>
      <c r="E14" s="3" t="s">
        <v>48</v>
      </c>
    </row>
    <row r="15" customHeight="1" spans="1:5">
      <c r="A15" s="3" t="s">
        <v>49</v>
      </c>
      <c r="B15" s="3">
        <v>27</v>
      </c>
      <c r="C15" s="3">
        <v>97</v>
      </c>
      <c r="D15" s="3">
        <v>479</v>
      </c>
      <c r="E15" s="3"/>
    </row>
  </sheetData>
  <mergeCells count="4">
    <mergeCell ref="E2:E5"/>
    <mergeCell ref="E6:E9"/>
    <mergeCell ref="E10:E11"/>
    <mergeCell ref="E14:E15"/>
  </mergeCells>
  <hyperlinks>
    <hyperlink ref="E6" r:id="rId1" display="10.1038/s41467-024-55620-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tanen</dc:creator>
  <cp:lastModifiedBy>Xinyi Li</cp:lastModifiedBy>
  <dcterms:created xsi:type="dcterms:W3CDTF">2026-04-16T11:39:00Z</dcterms:created>
  <dcterms:modified xsi:type="dcterms:W3CDTF">2026-08-10T15:32:18Z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EC18855FD720557CDCA1486A238F3E1C_43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